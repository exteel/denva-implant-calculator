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df308bd8846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Інструкція" sheetId="1" r:id="R6c2f6d419e9c481a"/>
    <x:sheet xmlns:r="http://schemas.openxmlformats.org/officeDocument/2006/relationships" name="Прайс клініки" sheetId="2" r:id="R28ceec892a484c99"/>
    <x:sheet xmlns:r="http://schemas.openxmlformats.org/officeDocument/2006/relationships" name="Довідник кодів" sheetId="3" r:id="Rd3b5677b6de24a0d"/>
    <x:sheet xmlns:r="http://schemas.openxmlformats.org/officeDocument/2006/relationships" name="Списки" sheetId="4" r:id="Raa989e883ae7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7">
    <x:font>
      <x:sz val="11"/>
      <x:name val="Carlito"/>
    </x:font>
    <x:font>
      <x:sz val="10"/>
      <x:color rgb="FF243742"/>
      <x:name val="Arial"/>
    </x:font>
    <x:font>
      <x:b/>
      <x:sz val="16"/>
      <x:color rgb="FF000000"/>
      <x:name val="Arial"/>
    </x:font>
    <x:font>
      <x:b/>
      <x:sz val="10"/>
      <x:color rgb="FFFFFFFF"/>
      <x:name val="Arial"/>
    </x:font>
    <x:font>
      <x:b/>
      <x:sz val="10"/>
      <x:color rgb="FF174F5C"/>
      <x:name val="Arial"/>
    </x:font>
    <x:font>
      <x:b/>
      <x:sz val="15"/>
      <x:color rgb="FF000000"/>
      <x:name val="Arial"/>
    </x:font>
    <x:font>
      <x:b/>
      <x:sz val="10"/>
      <x:color rgb="FF173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4F5C"/>
      </x:patternFill>
    </x:fill>
    <x:fill>
      <x:patternFill patternType="solid">
        <x:fgColor rgb="FFE8F1F3"/>
      </x:patternFill>
    </x:fill>
    <x:fill>
      <x:patternFill patternType="solid">
        <x:fgColor rgb="FFFFF2CC"/>
      </x:patternFill>
    </x:fill>
  </x:fills>
  <x:borders count="6">
    <x:border>
      <x:left/>
      <x:right/>
      <x:top/>
      <x:bottom/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4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4" xfId="0" applyNumberFormat="1" applyFont="1" applyFill="1" applyBorder="1"/>
    <x:xf numFmtId="0" fontId="1" fillId="4" borderId="4" xfId="0" applyNumberFormat="1" applyFont="1" applyFill="1" applyBorder="1" applyAlignment="1">
      <x:alignment horizontal="center"/>
    </x:xf>
    <x:xf numFmtId="200" fontId="1" fillId="4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201" fontId="1" fillId="4" borderId="0" xfId="0" applyNumberFormat="1" applyFont="1" applyFill="1" applyBorder="1"/>
    <x:xf numFmtId="201" fontId="1" fillId="0" borderId="0" xfId="0" applyNumberFormat="1" applyFont="1" applyFill="1" applyBorder="1"/>
    <x:xf numFmtId="200" fontId="1" fillId="4" borderId="0" xfId="0" applyNumberFormat="1" applyFont="1" applyFill="1" applyBorder="1"/>
    <x:xf numFmtId="0" fontId="3" fillId="2" borderId="4" xfId="0" applyNumberFormat="1" applyFont="1" applyFill="1" applyBorder="1" applyAlignment="1">
      <x:alignment horizontal="center" vertical="center" wrapText="1"/>
    </x:xf>
    <x:xf numFmtId="201" fontId="1" fillId="4" borderId="4" xfId="0" applyNumberFormat="1" applyFont="1" applyFill="1" applyBorder="1"/>
    <x:xf numFmtId="201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vertical="center"/>
    </x:xf>
    <x:xf numFmtId="201" fontId="1" fillId="4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201" fontId="1" fillId="4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vertical="center" wrapText="1"/>
    </x:xf>
    <x:xf numFmtId="0" fontId="1" fillId="4" borderId="4" xfId="0" applyNumberFormat="1" applyFont="1" applyFill="1" applyBorder="1" applyAlignment="1">
      <x:alignment vertical="center" wrapText="1"/>
    </x:xf>
    <x:xf numFmtId="200" fontId="1" fillId="4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0259addc104eed" /><Relationship Type="http://schemas.openxmlformats.org/officeDocument/2006/relationships/theme" Target="/xl/theme/theme1.xml" Id="R75268b8fc3b74fad" /><Relationship Type="http://schemas.openxmlformats.org/officeDocument/2006/relationships/sharedStrings" Target="/xl/sharedStrings.xml" Id="R50f1fa4030144c20" /><Relationship Type="http://schemas.openxmlformats.org/officeDocument/2006/relationships/worksheet" Target="/xl/worksheets/sheet1.xml" Id="R6c2f6d419e9c481a" /><Relationship Type="http://schemas.openxmlformats.org/officeDocument/2006/relationships/worksheet" Target="/xl/worksheets/sheet2.xml" Id="R28ceec892a484c99" /><Relationship Type="http://schemas.openxmlformats.org/officeDocument/2006/relationships/worksheet" Target="/xl/worksheets/sheet3.xml" Id="Rd3b5677b6de24a0d" /><Relationship Type="http://schemas.openxmlformats.org/officeDocument/2006/relationships/worksheet" Target="/xl/worksheets/sheet4.xml" Id="Raa989e883ae74f5d" /></Relationships>
</file>

<file path=xl/tables/table1.xml><?xml version="1.0" encoding="utf-8"?>
<x:table xmlns:x="http://schemas.openxmlformats.org/spreadsheetml/2006/main" id="1" name="ClinicPricesTable" displayName="ClinicPricesTable" ref="A15:M58" headerRowCount="1" totalsRowCount="0" totalsRowShown="0">
  <x:autoFilter ref="A15:M58"/>
  <x:tableColumns count="13">
    <x:tableColumn id="1" name="service_code"/>
    <x:tableColumn id="2" name="Категорія"/>
    <x:tableColumn id="3" name="Послуга"/>
    <x:tableColumn id="4" name="Одиниця"/>
    <x:tableColumn id="5" name="Рівень"/>
    <x:tableColumn id="6" name="Ціна від"/>
    <x:tableColumn id="7" name="Ціна до"/>
    <x:tableColumn id="8" name="Валюта"/>
    <x:tableColumn id="9" name="Середина діапазону"/>
    <x:tableColumn id="10" name="Що входить"/>
    <x:tableColumn id="11" name="Що не входить"/>
    <x:tableColumn id="12" name="Дата чинності"/>
    <x:tableColumn id="13" name="Посилання/примітк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viceCodeTable" displayName="ServiceCodeTable" ref="A3:G32" headerRowCount="1" totalsRowCount="0" totalsRowShown="0">
  <x:tableColumns count="7">
    <x:tableColumn id="1" name="service_code"/>
    <x:tableColumn id="2" name="Категорія"/>
    <x:tableColumn id="3" name="Назва"/>
    <x:tableColumn id="4" name="Одиниця"/>
    <x:tableColumn id="5" name="Тип рівня"/>
    <x:tableColumn id="6" name="Роль у калькуляторі"/>
    <x:tableColumn id="7" name="Правило/скла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8dc701c38643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13d6aee2f54ee7" /></Relationships>
</file>

<file path=xl/worksheets/sheet1.xml><?xml version="1.0" encoding="utf-8"?>
<x:worksheet xmlns:x="http://schemas.openxmlformats.org/spreadsheetml/2006/main">
  <x:sheetPr>
    <x:tabColor rgb="FF174F5C"/>
  </x:sheetPr>
  <x:sheetViews>
    <x:sheetView showGridLines="0" workbookViewId="0"/>
  </x:sheetViews>
  <x:sheetFormatPr defaultRowHeight="15"/>
  <x:cols>
    <x:col min="2" max="2" width="12" hidden="0" customWidth="1"/>
    <x:col min="3" max="3" width="78" hidden="0" customWidth="1"/>
    <x:col min="4" max="4" width="3" hidden="0" customWidth="1"/>
    <x:col min="5" max="5" width="3" hidden="0" customWidth="1"/>
    <x:col min="6" max="6" width="3" hidden="0" customWidth="1"/>
    <x:col min="7" max="7" width="3" hidden="0" customWidth="1"/>
    <x:col min="8" max="8" width="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2" t="str">
        <x:v>DENVA шаблон цін клініки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"/>
      <x:c r="B4" s="5" t="str">
        <x:v>Як заповнювати</x:v>
      </x:c>
      <x:c r="C4" s="6"/>
      <x:c r="D4" s="6"/>
      <x:c r="E4" s="6"/>
      <x:c r="F4" s="6"/>
      <x:c r="G4" s="6"/>
      <x:c r="H4" s="7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"/>
      <x:c r="B5" s="8" t="str">
        <x:v>1</x:v>
      </x:c>
      <x:c r="C5" s="9" t="str">
        <x:v>Заповніть дані клініки у верхній частині аркуша «Прайс клініки».</x:v>
      </x:c>
      <x:c r="D5" s="9"/>
      <x:c r="E5" s="9"/>
      <x:c r="F5" s="9"/>
      <x:c r="G5" s="9"/>
      <x:c r="H5" s="9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8" t="str">
        <x:v>2</x:v>
      </x:c>
      <x:c r="C6" s="9" t="str">
        <x:v>Вносьте фактичну ціну та оригінальну валюту. Не переводьте її самостійно.</x:v>
      </x:c>
      <x:c r="D6" s="9"/>
      <x:c r="E6" s="9"/>
      <x:c r="F6" s="9"/>
      <x:c r="G6" s="9"/>
      <x:c r="H6" s="9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8" t="str">
        <x:v>3</x:v>
      </x:c>
      <x:c r="C7" s="9" t="str">
        <x:v>Для послуг із рівнями заповніть minimum, classic і premium лише якщо такі пропозиції реально існують.</x:v>
      </x:c>
      <x:c r="D7" s="9"/>
      <x:c r="E7" s="9"/>
      <x:c r="F7" s="9"/>
      <x:c r="G7" s="9"/>
      <x:c r="H7" s="9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8" t="str">
        <x:v>4</x:v>
      </x:c>
      <x:c r="C8" s="9" t="str">
        <x:v>У полі «Що входить» перелічіть склад пакета. Рекламна ціна без обов’язкових компонентів не допускається до статистики.</x:v>
      </x:c>
      <x:c r="D8" s="9"/>
      <x:c r="E8" s="9"/>
      <x:c r="F8" s="9"/>
      <x:c r="G8" s="9"/>
      <x:c r="H8" s="9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8" t="str">
        <x:v>5</x:v>
      </x:c>
      <x:c r="C9" s="9" t="str">
        <x:v>Порожні рядки дозволені. DENVA перевіряє service_code, рівень і склад до публікації.</x:v>
      </x:c>
      <x:c r="D9" s="9"/>
      <x:c r="E9" s="9"/>
      <x:c r="F9" s="9"/>
      <x:c r="G9" s="9"/>
      <x:c r="H9" s="9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8" t="str">
        <x:v>6</x:v>
      </x:c>
      <x:c r="C10" s="9" t="str">
        <x:v>Ціни клініки не показуються під її назвою у калькуляторі. Дані використовуються у знеособленій ринковій статистиці.</x:v>
      </x:c>
      <x:c r="D10" s="9"/>
      <x:c r="E10" s="9"/>
      <x:c r="F10" s="9"/>
      <x:c r="G10" s="9"/>
      <x:c r="H10" s="9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8" t="str">
        <x:v>7</x:v>
      </x:c>
      <x:c r="C11" s="9" t="str">
        <x:v>Участь у Dental Tender та публічний профіль оформлюються окремо.</x:v>
      </x:c>
      <x:c r="D11" s="9"/>
      <x:c r="E11" s="9"/>
      <x:c r="F11" s="9"/>
      <x:c r="G11" s="9"/>
      <x:c r="H11" s="9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4" t="str">
        <x:v>Ринкові рівні</x:v>
      </x:c>
      <x:c r="C13" s="4"/>
      <x:c r="D13" s="4"/>
      <x:c r="E13" s="4"/>
      <x:c r="F13" s="4"/>
      <x:c r="G13" s="4"/>
      <x:c r="H13" s="4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0" t="str">
        <x:v>common</x:v>
      </x:c>
      <x:c r="C14" s="10" t="str">
        <x:v>Спільна ціна без поділу за преміальністю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0" t="str">
        <x:v>minimum</x:v>
      </x:c>
      <x:c r="C15" s="10" t="str">
        <x:v>Мінімальний перевірений ринковий рівень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0" t="str">
        <x:v>classic</x:v>
      </x:c>
      <x:c r="C16" s="10" t="str">
        <x:v>Типовий класичний рівень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0" t="str">
        <x:v>premium</x:v>
      </x:c>
      <x:c r="C17" s="10" t="str">
        <x:v>Преміальний рівень системи, матеріалів або лабораторії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B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B88"/>
  </x:sheetPr>
  <x:sheetViews>
    <x:sheetView showGridLines="0" workbookViewId="0">
      <x:pane ySplit="15" topLeftCell="A16" activePane="bottomLeft" state="frozen"/>
    </x:sheetView>
  </x:sheetViews>
  <x:sheetFormatPr defaultRowHeight="15"/>
  <x:cols>
    <x:col min="1" max="1" width="30" hidden="0" customWidth="1"/>
    <x:col min="2" max="2" width="19" hidden="0" customWidth="1"/>
    <x:col min="3" max="3" width="36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6" hidden="0" customWidth="1"/>
    <x:col min="11" max="11" width="36" hidden="0" customWidth="1"/>
    <x:col min="12" max="12" width="15" hidden="0" customWidth="1"/>
    <x:col min="13" max="13" width="34" hidden="0" customWidth="1"/>
  </x:cols>
  <x:sheetData>
    <x:row r="1">
      <x:c r="A1" s="11" t="str">
        <x:v>Прайс клініки для DENVA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3" t="str">
        <x:v>Назва клініки</x:v>
      </x:c>
      <x:c r="B3" s="15" t="str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3" t="str">
        <x:v>Місто</x:v>
      </x:c>
      <x:c r="B4" s="15" t="str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3" t="str">
        <x:v>Область</x:v>
      </x:c>
      <x:c r="B5" s="15" t="str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3" t="str">
        <x:v>Адреса</x:v>
      </x:c>
      <x:c r="B6" s="15" t="str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3" t="str">
        <x:v>Контактна особа</x:v>
      </x:c>
      <x:c r="B7" s="15" t="str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3" t="str">
        <x:v>Телефон або email</x:v>
      </x:c>
      <x:c r="B8" s="15" t="str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3" t="str">
        <x:v>Дата чинності прайсу</x:v>
      </x:c>
      <x:c r="B9" s="17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3" t="str">
        <x:v>Участь у Dental Tender</x:v>
      </x:c>
      <x:c r="B10" s="16" t="str">
        <x:v>Ні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3" t="str">
        <x:v>Згода на публічний профіль</x:v>
      </x:c>
      <x:c r="B11" s="16" t="str">
        <x:v>Ні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3" t="str">
        <x:v>Підтверджую достовірність</x:v>
      </x:c>
      <x:c r="B12" s="16" t="str">
        <x:v>Ні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25" t="str">
        <x:v>service_code</x:v>
      </x:c>
      <x:c r="B15" s="25" t="str">
        <x:v>Категорія</x:v>
      </x:c>
      <x:c r="C15" s="25" t="str">
        <x:v>Послуга</x:v>
      </x:c>
      <x:c r="D15" s="25" t="str">
        <x:v>Одиниця</x:v>
      </x:c>
      <x:c r="E15" s="25" t="str">
        <x:v>Рівень</x:v>
      </x:c>
      <x:c r="F15" s="25" t="str">
        <x:v>Ціна від</x:v>
      </x:c>
      <x:c r="G15" s="25" t="str">
        <x:v>Ціна до</x:v>
      </x:c>
      <x:c r="H15" s="25" t="str">
        <x:v>Валюта</x:v>
      </x:c>
      <x:c r="I15" s="25" t="str">
        <x:v>Середина діапазону</x:v>
      </x:c>
      <x:c r="J15" s="25" t="str">
        <x:v>Що входить</x:v>
      </x:c>
      <x:c r="K15" s="25" t="str">
        <x:v>Що не входить</x:v>
      </x:c>
      <x:c r="L15" s="25" t="str">
        <x:v>Дата чинності</x:v>
      </x:c>
      <x:c r="M15" s="25" t="str">
        <x:v>Посилання/примітка</x:v>
      </x:c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28" t="str">
        <x:v>IMPLANT_INSTALL</x:v>
      </x:c>
      <x:c r="B16" s="33" t="str">
        <x:v>Імплантація</x:v>
      </x:c>
      <x:c r="C16" s="33" t="str">
        <x:v>Встановлення імпланта</x:v>
      </x:c>
      <x:c r="D16" s="33" t="str">
        <x:v>за імплант</x:v>
      </x:c>
      <x:c r="E16" s="33" t="str">
        <x:v>minimum</x:v>
      </x:c>
      <x:c r="F16" s="34"/>
      <x:c r="G16" s="34"/>
      <x:c r="H16" s="34" t="str">
        <x:v>UAH</x:v>
      </x:c>
      <x:c r="I16" s="35" t="str">
        <x:f>IF(F16="","",IF(G16="",F16,AVERAGE(F16:G16)))</x:f>
      </x:c>
      <x:c r="J16" s="36" t="str"/>
      <x:c r="K16" s="36" t="str"/>
      <x:c r="L16" s="37"/>
      <x:c r="M16" s="36" t="str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28" t="str">
        <x:v>IMPLANT_INSTALL</x:v>
      </x:c>
      <x:c r="B17" s="33" t="str">
        <x:v>Імплантація</x:v>
      </x:c>
      <x:c r="C17" s="33" t="str">
        <x:v>Встановлення імпланта</x:v>
      </x:c>
      <x:c r="D17" s="33" t="str">
        <x:v>за імплант</x:v>
      </x:c>
      <x:c r="E17" s="33" t="str">
        <x:v>classic</x:v>
      </x:c>
      <x:c r="F17" s="34"/>
      <x:c r="G17" s="34"/>
      <x:c r="H17" s="34" t="str">
        <x:v>UAH</x:v>
      </x:c>
      <x:c r="I17" s="35" t="str">
        <x:f>IF(F17="","",IF(G17="",F17,AVERAGE(F17:G17)))</x:f>
      </x:c>
      <x:c r="J17" s="36" t="str"/>
      <x:c r="K17" s="36" t="str"/>
      <x:c r="L17" s="37"/>
      <x:c r="M17" s="36" t="str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28" t="str">
        <x:v>IMPLANT_INSTALL</x:v>
      </x:c>
      <x:c r="B18" s="33" t="str">
        <x:v>Імплантація</x:v>
      </x:c>
      <x:c r="C18" s="33" t="str">
        <x:v>Встановлення імпланта</x:v>
      </x:c>
      <x:c r="D18" s="33" t="str">
        <x:v>за імплант</x:v>
      </x:c>
      <x:c r="E18" s="33" t="str">
        <x:v>premium</x:v>
      </x:c>
      <x:c r="F18" s="34"/>
      <x:c r="G18" s="34"/>
      <x:c r="H18" s="34" t="str">
        <x:v>UAH</x:v>
      </x:c>
      <x:c r="I18" s="35" t="str">
        <x:f>IF(F18="","",IF(G18="",F18,AVERAGE(F18:G18)))</x:f>
      </x:c>
      <x:c r="J18" s="36" t="str"/>
      <x:c r="K18" s="36" t="str"/>
      <x:c r="L18" s="37"/>
      <x:c r="M18" s="36" t="str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28" t="str">
        <x:v>HEALING_ABUTMENT</x:v>
      </x:c>
      <x:c r="B19" s="33" t="str">
        <x:v>Компоненти</x:v>
      </x:c>
      <x:c r="C19" s="33" t="str">
        <x:v>Формувач ясен</x:v>
      </x:c>
      <x:c r="D19" s="33" t="str">
        <x:v>за імплант</x:v>
      </x:c>
      <x:c r="E19" s="33" t="str">
        <x:v>minimum</x:v>
      </x:c>
      <x:c r="F19" s="34"/>
      <x:c r="G19" s="34"/>
      <x:c r="H19" s="34" t="str">
        <x:v>UAH</x:v>
      </x:c>
      <x:c r="I19" s="35" t="str">
        <x:f>IF(F19="","",IF(G19="",F19,AVERAGE(F19:G19)))</x:f>
      </x:c>
      <x:c r="J19" s="36" t="str"/>
      <x:c r="K19" s="36" t="str"/>
      <x:c r="L19" s="37"/>
      <x:c r="M19" s="36" t="str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28" t="str">
        <x:v>HEALING_ABUTMENT</x:v>
      </x:c>
      <x:c r="B20" s="33" t="str">
        <x:v>Компоненти</x:v>
      </x:c>
      <x:c r="C20" s="33" t="str">
        <x:v>Формувач ясен</x:v>
      </x:c>
      <x:c r="D20" s="33" t="str">
        <x:v>за імплант</x:v>
      </x:c>
      <x:c r="E20" s="33" t="str">
        <x:v>classic</x:v>
      </x:c>
      <x:c r="F20" s="34"/>
      <x:c r="G20" s="34"/>
      <x:c r="H20" s="34" t="str">
        <x:v>UAH</x:v>
      </x:c>
      <x:c r="I20" s="35" t="str">
        <x:f>IF(F20="","",IF(G20="",F20,AVERAGE(F20:G20)))</x:f>
      </x:c>
      <x:c r="J20" s="36" t="str"/>
      <x:c r="K20" s="36" t="str"/>
      <x:c r="L20" s="37"/>
      <x:c r="M20" s="36" t="str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28" t="str">
        <x:v>HEALING_ABUTMENT</x:v>
      </x:c>
      <x:c r="B21" s="33" t="str">
        <x:v>Компоненти</x:v>
      </x:c>
      <x:c r="C21" s="33" t="str">
        <x:v>Формувач ясен</x:v>
      </x:c>
      <x:c r="D21" s="33" t="str">
        <x:v>за імплант</x:v>
      </x:c>
      <x:c r="E21" s="33" t="str">
        <x:v>premium</x:v>
      </x:c>
      <x:c r="F21" s="34"/>
      <x:c r="G21" s="34"/>
      <x:c r="H21" s="34" t="str">
        <x:v>UAH</x:v>
      </x:c>
      <x:c r="I21" s="35" t="str">
        <x:f>IF(F21="","",IF(G21="",F21,AVERAGE(F21:G21)))</x:f>
      </x:c>
      <x:c r="J21" s="36" t="str"/>
      <x:c r="K21" s="36" t="str"/>
      <x:c r="L21" s="37"/>
      <x:c r="M21" s="36" t="str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28" t="str">
        <x:v>SCAN_JAW_STAGE</x:v>
      </x:c>
      <x:c r="B22" s="33" t="str">
        <x:v>Цифровий етап</x:v>
      </x:c>
      <x:c r="C22" s="33" t="str">
        <x:v>Сканування однієї щелепи</x:v>
      </x:c>
      <x:c r="D22" s="33" t="str">
        <x:v>за щелепу/етап</x:v>
      </x:c>
      <x:c r="E22" s="33" t="str">
        <x:v>common</x:v>
      </x:c>
      <x:c r="F22" s="34"/>
      <x:c r="G22" s="34"/>
      <x:c r="H22" s="34" t="str">
        <x:v>UAH</x:v>
      </x:c>
      <x:c r="I22" s="35" t="str">
        <x:f>IF(F22="","",IF(G22="",F22,AVERAGE(F22:G22)))</x:f>
      </x:c>
      <x:c r="J22" s="36" t="str"/>
      <x:c r="K22" s="36" t="str"/>
      <x:c r="L22" s="37"/>
      <x:c r="M22" s="36" t="str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28" t="str">
        <x:v>REPEAT_SCAN_JAW</x:v>
      </x:c>
      <x:c r="B23" s="33" t="str">
        <x:v>Цифровий етап</x:v>
      </x:c>
      <x:c r="C23" s="33" t="str">
        <x:v>Повторне сканування однієї щелепи</x:v>
      </x:c>
      <x:c r="D23" s="33" t="str">
        <x:v>за щелепу/етап</x:v>
      </x:c>
      <x:c r="E23" s="33" t="str">
        <x:v>common</x:v>
      </x:c>
      <x:c r="F23" s="34"/>
      <x:c r="G23" s="34"/>
      <x:c r="H23" s="34" t="str">
        <x:v>UAH</x:v>
      </x:c>
      <x:c r="I23" s="35" t="str">
        <x:f>IF(F23="","",IF(G23="",F23,AVERAGE(F23:G23)))</x:f>
      </x:c>
      <x:c r="J23" s="36" t="str"/>
      <x:c r="K23" s="36" t="str"/>
      <x:c r="L23" s="37"/>
      <x:c r="M23" s="36" t="str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28" t="str">
        <x:v>SUPERSTRUCTURE_SET</x:v>
      </x:c>
      <x:c r="B24" s="33" t="str">
        <x:v>Компоненти</x:v>
      </x:c>
      <x:c r="C24" s="33" t="str">
        <x:v>Комплект супраструктур</x:v>
      </x:c>
      <x:c r="D24" s="33" t="str">
        <x:v>за імплант</x:v>
      </x:c>
      <x:c r="E24" s="33" t="str">
        <x:v>minimum</x:v>
      </x:c>
      <x:c r="F24" s="34"/>
      <x:c r="G24" s="34"/>
      <x:c r="H24" s="34" t="str">
        <x:v>UAH</x:v>
      </x:c>
      <x:c r="I24" s="35" t="str">
        <x:f>IF(F24="","",IF(G24="",F24,AVERAGE(F24:G24)))</x:f>
      </x:c>
      <x:c r="J24" s="36" t="str"/>
      <x:c r="K24" s="36" t="str"/>
      <x:c r="L24" s="37"/>
      <x:c r="M24" s="36" t="str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28" t="str">
        <x:v>SUPERSTRUCTURE_SET</x:v>
      </x:c>
      <x:c r="B25" s="33" t="str">
        <x:v>Компоненти</x:v>
      </x:c>
      <x:c r="C25" s="33" t="str">
        <x:v>Комплект супраструктур</x:v>
      </x:c>
      <x:c r="D25" s="33" t="str">
        <x:v>за імплант</x:v>
      </x:c>
      <x:c r="E25" s="33" t="str">
        <x:v>classic</x:v>
      </x:c>
      <x:c r="F25" s="34"/>
      <x:c r="G25" s="34"/>
      <x:c r="H25" s="34" t="str">
        <x:v>UAH</x:v>
      </x:c>
      <x:c r="I25" s="35" t="str">
        <x:f>IF(F25="","",IF(G25="",F25,AVERAGE(F25:G25)))</x:f>
      </x:c>
      <x:c r="J25" s="36" t="str"/>
      <x:c r="K25" s="36" t="str"/>
      <x:c r="L25" s="37"/>
      <x:c r="M25" s="36" t="str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28" t="str">
        <x:v>SUPERSTRUCTURE_SET</x:v>
      </x:c>
      <x:c r="B26" s="33" t="str">
        <x:v>Компоненти</x:v>
      </x:c>
      <x:c r="C26" s="33" t="str">
        <x:v>Комплект супраструктур</x:v>
      </x:c>
      <x:c r="D26" s="33" t="str">
        <x:v>за імплант</x:v>
      </x:c>
      <x:c r="E26" s="33" t="str">
        <x:v>premium</x:v>
      </x:c>
      <x:c r="F26" s="34"/>
      <x:c r="G26" s="34"/>
      <x:c r="H26" s="34" t="str">
        <x:v>UAH</x:v>
      </x:c>
      <x:c r="I26" s="35" t="str">
        <x:f>IF(F26="","",IF(G26="",F26,AVERAGE(F26:G26)))</x:f>
      </x:c>
      <x:c r="J26" s="36" t="str"/>
      <x:c r="K26" s="36" t="str"/>
      <x:c r="L26" s="37"/>
      <x:c r="M26" s="36" t="str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28" t="str">
        <x:v>CROWN_IMPLANT</x:v>
      </x:c>
      <x:c r="B27" s="33" t="str">
        <x:v>Коронки</x:v>
      </x:c>
      <x:c r="C27" s="33" t="str">
        <x:v>Постійна коронка на імпланті</x:v>
      </x:c>
      <x:c r="D27" s="33" t="str">
        <x:v>за зуб</x:v>
      </x:c>
      <x:c r="E27" s="33" t="str">
        <x:v>minimum</x:v>
      </x:c>
      <x:c r="F27" s="34"/>
      <x:c r="G27" s="34"/>
      <x:c r="H27" s="34" t="str">
        <x:v>UAH</x:v>
      </x:c>
      <x:c r="I27" s="35" t="str">
        <x:f>IF(F27="","",IF(G27="",F27,AVERAGE(F27:G27)))</x:f>
      </x:c>
      <x:c r="J27" s="36" t="str"/>
      <x:c r="K27" s="36" t="str"/>
      <x:c r="L27" s="37"/>
      <x:c r="M27" s="36" t="str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28" t="str">
        <x:v>CROWN_IMPLANT</x:v>
      </x:c>
      <x:c r="B28" s="33" t="str">
        <x:v>Коронки</x:v>
      </x:c>
      <x:c r="C28" s="33" t="str">
        <x:v>Постійна коронка на імпланті</x:v>
      </x:c>
      <x:c r="D28" s="33" t="str">
        <x:v>за зуб</x:v>
      </x:c>
      <x:c r="E28" s="33" t="str">
        <x:v>classic</x:v>
      </x:c>
      <x:c r="F28" s="34"/>
      <x:c r="G28" s="34"/>
      <x:c r="H28" s="34" t="str">
        <x:v>UAH</x:v>
      </x:c>
      <x:c r="I28" s="35" t="str">
        <x:f>IF(F28="","",IF(G28="",F28,AVERAGE(F28:G28)))</x:f>
      </x:c>
      <x:c r="J28" s="36" t="str"/>
      <x:c r="K28" s="36" t="str"/>
      <x:c r="L28" s="37"/>
      <x:c r="M28" s="36" t="str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28" t="str">
        <x:v>CROWN_IMPLANT</x:v>
      </x:c>
      <x:c r="B29" s="33" t="str">
        <x:v>Коронки</x:v>
      </x:c>
      <x:c r="C29" s="33" t="str">
        <x:v>Постійна коронка на імпланті</x:v>
      </x:c>
      <x:c r="D29" s="33" t="str">
        <x:v>за зуб</x:v>
      </x:c>
      <x:c r="E29" s="33" t="str">
        <x:v>premium</x:v>
      </x:c>
      <x:c r="F29" s="34"/>
      <x:c r="G29" s="34"/>
      <x:c r="H29" s="34" t="str">
        <x:v>UAH</x:v>
      </x:c>
      <x:c r="I29" s="35" t="str">
        <x:f>IF(F29="","",IF(G29="",F29,AVERAGE(F29:G29)))</x:f>
      </x:c>
      <x:c r="J29" s="36" t="str"/>
      <x:c r="K29" s="36" t="str"/>
      <x:c r="L29" s="37"/>
      <x:c r="M29" s="36" t="str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28" t="str">
        <x:v>TEMP_CROWN_UNIT</x:v>
      </x:c>
      <x:c r="B30" s="33" t="str">
        <x:v>Тимчасові зуби</x:v>
      </x:c>
      <x:c r="C30" s="33" t="str">
        <x:v>Тимчасова коронка</x:v>
      </x:c>
      <x:c r="D30" s="33" t="str">
        <x:v>за зуб</x:v>
      </x:c>
      <x:c r="E30" s="33" t="str">
        <x:v>common</x:v>
      </x:c>
      <x:c r="F30" s="34"/>
      <x:c r="G30" s="34"/>
      <x:c r="H30" s="34" t="str">
        <x:v>UAH</x:v>
      </x:c>
      <x:c r="I30" s="35" t="str">
        <x:f>IF(F30="","",IF(G30="",F30,AVERAGE(F30:G30)))</x:f>
      </x:c>
      <x:c r="J30" s="36" t="str"/>
      <x:c r="K30" s="36" t="str"/>
      <x:c r="L30" s="37"/>
      <x:c r="M30" s="36" t="str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28" t="str">
        <x:v>ABUTMENT_FINAL</x:v>
      </x:c>
      <x:c r="B31" s="33" t="str">
        <x:v>Компоненти</x:v>
      </x:c>
      <x:c r="C31" s="33" t="str">
        <x:v>Фінальний абатмент після тимчасової коронки</x:v>
      </x:c>
      <x:c r="D31" s="33" t="str">
        <x:v>за імплант</x:v>
      </x:c>
      <x:c r="E31" s="33" t="str">
        <x:v>minimum</x:v>
      </x:c>
      <x:c r="F31" s="34"/>
      <x:c r="G31" s="34"/>
      <x:c r="H31" s="34" t="str">
        <x:v>UAH</x:v>
      </x:c>
      <x:c r="I31" s="35" t="str">
        <x:f>IF(F31="","",IF(G31="",F31,AVERAGE(F31:G31)))</x:f>
      </x:c>
      <x:c r="J31" s="36" t="str"/>
      <x:c r="K31" s="36" t="str"/>
      <x:c r="L31" s="37"/>
      <x:c r="M31" s="36" t="str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28" t="str">
        <x:v>ABUTMENT_FINAL</x:v>
      </x:c>
      <x:c r="B32" s="33" t="str">
        <x:v>Компоненти</x:v>
      </x:c>
      <x:c r="C32" s="33" t="str">
        <x:v>Фінальний абатмент після тимчасової коронки</x:v>
      </x:c>
      <x:c r="D32" s="33" t="str">
        <x:v>за імплант</x:v>
      </x:c>
      <x:c r="E32" s="33" t="str">
        <x:v>classic</x:v>
      </x:c>
      <x:c r="F32" s="34"/>
      <x:c r="G32" s="34"/>
      <x:c r="H32" s="34" t="str">
        <x:v>UAH</x:v>
      </x:c>
      <x:c r="I32" s="35" t="str">
        <x:f>IF(F32="","",IF(G32="",F32,AVERAGE(F32:G32)))</x:f>
      </x:c>
      <x:c r="J32" s="36" t="str"/>
      <x:c r="K32" s="36" t="str"/>
      <x:c r="L32" s="37"/>
      <x:c r="M32" s="36" t="str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28" t="str">
        <x:v>ABUTMENT_FINAL</x:v>
      </x:c>
      <x:c r="B33" s="33" t="str">
        <x:v>Компоненти</x:v>
      </x:c>
      <x:c r="C33" s="33" t="str">
        <x:v>Фінальний абатмент після тимчасової коронки</x:v>
      </x:c>
      <x:c r="D33" s="33" t="str">
        <x:v>за імплант</x:v>
      </x:c>
      <x:c r="E33" s="33" t="str">
        <x:v>premium</x:v>
      </x:c>
      <x:c r="F33" s="34"/>
      <x:c r="G33" s="34"/>
      <x:c r="H33" s="34" t="str">
        <x:v>UAH</x:v>
      </x:c>
      <x:c r="I33" s="35" t="str">
        <x:f>IF(F33="","",IF(G33="",F33,AVERAGE(F33:G33)))</x:f>
      </x:c>
      <x:c r="J33" s="36" t="str"/>
      <x:c r="K33" s="36" t="str"/>
      <x:c r="L33" s="37"/>
      <x:c r="M33" s="36" t="str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28" t="str">
        <x:v>MULTIUNIT</x:v>
      </x:c>
      <x:c r="B34" s="33" t="str">
        <x:v>Повна щелепа</x:v>
      </x:c>
      <x:c r="C34" s="33" t="str">
        <x:v>Мультиюніт</x:v>
      </x:c>
      <x:c r="D34" s="33" t="str">
        <x:v>за імплант</x:v>
      </x:c>
      <x:c r="E34" s="33" t="str">
        <x:v>minimum</x:v>
      </x:c>
      <x:c r="F34" s="34"/>
      <x:c r="G34" s="34"/>
      <x:c r="H34" s="34" t="str">
        <x:v>UAH</x:v>
      </x:c>
      <x:c r="I34" s="35" t="str">
        <x:f>IF(F34="","",IF(G34="",F34,AVERAGE(F34:G34)))</x:f>
      </x:c>
      <x:c r="J34" s="36" t="str"/>
      <x:c r="K34" s="36" t="str"/>
      <x:c r="L34" s="37"/>
      <x:c r="M34" s="36" t="str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28" t="str">
        <x:v>MULTIUNIT</x:v>
      </x:c>
      <x:c r="B35" s="33" t="str">
        <x:v>Повна щелепа</x:v>
      </x:c>
      <x:c r="C35" s="33" t="str">
        <x:v>Мультиюніт</x:v>
      </x:c>
      <x:c r="D35" s="33" t="str">
        <x:v>за імплант</x:v>
      </x:c>
      <x:c r="E35" s="33" t="str">
        <x:v>classic</x:v>
      </x:c>
      <x:c r="F35" s="34"/>
      <x:c r="G35" s="34"/>
      <x:c r="H35" s="34" t="str">
        <x:v>UAH</x:v>
      </x:c>
      <x:c r="I35" s="35" t="str">
        <x:f>IF(F35="","",IF(G35="",F35,AVERAGE(F35:G35)))</x:f>
      </x:c>
      <x:c r="J35" s="36" t="str"/>
      <x:c r="K35" s="36" t="str"/>
      <x:c r="L35" s="37"/>
      <x:c r="M35" s="36" t="str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28" t="str">
        <x:v>MULTIUNIT</x:v>
      </x:c>
      <x:c r="B36" s="33" t="str">
        <x:v>Повна щелепа</x:v>
      </x:c>
      <x:c r="C36" s="33" t="str">
        <x:v>Мультиюніт</x:v>
      </x:c>
      <x:c r="D36" s="33" t="str">
        <x:v>за імплант</x:v>
      </x:c>
      <x:c r="E36" s="33" t="str">
        <x:v>premium</x:v>
      </x:c>
      <x:c r="F36" s="34"/>
      <x:c r="G36" s="34"/>
      <x:c r="H36" s="34" t="str">
        <x:v>UAH</x:v>
      </x:c>
      <x:c r="I36" s="35" t="str">
        <x:f>IF(F36="","",IF(G36="",F36,AVERAGE(F36:G36)))</x:f>
      </x:c>
      <x:c r="J36" s="36" t="str"/>
      <x:c r="K36" s="36" t="str"/>
      <x:c r="L36" s="37"/>
      <x:c r="M36" s="36" t="str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28" t="str">
        <x:v>ARCH_TEMP</x:v>
      </x:c>
      <x:c r="B37" s="33" t="str">
        <x:v>Повна щелепа</x:v>
      </x:c>
      <x:c r="C37" s="33" t="str">
        <x:v>Тимчасова повнощелепна конструкція</x:v>
      </x:c>
      <x:c r="D37" s="33" t="str">
        <x:v>за щелепу</x:v>
      </x:c>
      <x:c r="E37" s="33" t="str">
        <x:v>common</x:v>
      </x:c>
      <x:c r="F37" s="34"/>
      <x:c r="G37" s="34"/>
      <x:c r="H37" s="34" t="str">
        <x:v>UAH</x:v>
      </x:c>
      <x:c r="I37" s="35" t="str">
        <x:f>IF(F37="","",IF(G37="",F37,AVERAGE(F37:G37)))</x:f>
      </x:c>
      <x:c r="J37" s="36" t="str"/>
      <x:c r="K37" s="36" t="str"/>
      <x:c r="L37" s="37"/>
      <x:c r="M37" s="36" t="str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28" t="str">
        <x:v>ARCH_FINAL</x:v>
      </x:c>
      <x:c r="B38" s="33" t="str">
        <x:v>Повна щелепа</x:v>
      </x:c>
      <x:c r="C38" s="33" t="str">
        <x:v>Постійна повнощелепна конструкція</x:v>
      </x:c>
      <x:c r="D38" s="33" t="str">
        <x:v>за щелепу</x:v>
      </x:c>
      <x:c r="E38" s="33" t="str">
        <x:v>minimum</x:v>
      </x:c>
      <x:c r="F38" s="34"/>
      <x:c r="G38" s="34"/>
      <x:c r="H38" s="34" t="str">
        <x:v>UAH</x:v>
      </x:c>
      <x:c r="I38" s="35" t="str">
        <x:f>IF(F38="","",IF(G38="",F38,AVERAGE(F38:G38)))</x:f>
      </x:c>
      <x:c r="J38" s="36" t="str"/>
      <x:c r="K38" s="36" t="str"/>
      <x:c r="L38" s="37"/>
      <x:c r="M38" s="36" t="str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28" t="str">
        <x:v>ARCH_FINAL</x:v>
      </x:c>
      <x:c r="B39" s="33" t="str">
        <x:v>Повна щелепа</x:v>
      </x:c>
      <x:c r="C39" s="33" t="str">
        <x:v>Постійна повнощелепна конструкція</x:v>
      </x:c>
      <x:c r="D39" s="33" t="str">
        <x:v>за щелепу</x:v>
      </x:c>
      <x:c r="E39" s="33" t="str">
        <x:v>classic</x:v>
      </x:c>
      <x:c r="F39" s="34"/>
      <x:c r="G39" s="34"/>
      <x:c r="H39" s="34" t="str">
        <x:v>UAH</x:v>
      </x:c>
      <x:c r="I39" s="35" t="str">
        <x:f>IF(F39="","",IF(G39="",F39,AVERAGE(F39:G39)))</x:f>
      </x:c>
      <x:c r="J39" s="36" t="str"/>
      <x:c r="K39" s="36" t="str"/>
      <x:c r="L39" s="37"/>
      <x:c r="M39" s="36" t="str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28" t="str">
        <x:v>ARCH_FINAL</x:v>
      </x:c>
      <x:c r="B40" s="33" t="str">
        <x:v>Повна щелепа</x:v>
      </x:c>
      <x:c r="C40" s="33" t="str">
        <x:v>Постійна повнощелепна конструкція</x:v>
      </x:c>
      <x:c r="D40" s="33" t="str">
        <x:v>за щелепу</x:v>
      </x:c>
      <x:c r="E40" s="33" t="str">
        <x:v>premium</x:v>
      </x:c>
      <x:c r="F40" s="34"/>
      <x:c r="G40" s="34"/>
      <x:c r="H40" s="34" t="str">
        <x:v>UAH</x:v>
      </x:c>
      <x:c r="I40" s="35" t="str">
        <x:f>IF(F40="","",IF(G40="",F40,AVERAGE(F40:G40)))</x:f>
      </x:c>
      <x:c r="J40" s="36" t="str"/>
      <x:c r="K40" s="36" t="str"/>
      <x:c r="L40" s="37"/>
      <x:c r="M40" s="36" t="str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28" t="str">
        <x:v>IMPLANT_CONSULT</x:v>
      </x:c>
      <x:c r="B41" s="33" t="str">
        <x:v>Діагностика</x:v>
      </x:c>
      <x:c r="C41" s="33" t="str">
        <x:v>Консультація імплантолога</x:v>
      </x:c>
      <x:c r="D41" s="33" t="str">
        <x:v>за консультацію</x:v>
      </x:c>
      <x:c r="E41" s="33" t="str">
        <x:v>common</x:v>
      </x:c>
      <x:c r="F41" s="34"/>
      <x:c r="G41" s="34"/>
      <x:c r="H41" s="34" t="str">
        <x:v>UAH</x:v>
      </x:c>
      <x:c r="I41" s="35" t="str">
        <x:f>IF(F41="","",IF(G41="",F41,AVERAGE(F41:G41)))</x:f>
      </x:c>
      <x:c r="J41" s="36" t="str"/>
      <x:c r="K41" s="36" t="str"/>
      <x:c r="L41" s="37"/>
      <x:c r="M41" s="36" t="str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28" t="str">
        <x:v>CT_ONE_JAW</x:v>
      </x:c>
      <x:c r="B42" s="33" t="str">
        <x:v>Діагностика</x:v>
      </x:c>
      <x:c r="C42" s="33" t="str">
        <x:v>КТ однієї щелепи</x:v>
      </x:c>
      <x:c r="D42" s="33" t="str">
        <x:v>за щелепу</x:v>
      </x:c>
      <x:c r="E42" s="33" t="str">
        <x:v>common</x:v>
      </x:c>
      <x:c r="F42" s="34"/>
      <x:c r="G42" s="34"/>
      <x:c r="H42" s="34" t="str">
        <x:v>UAH</x:v>
      </x:c>
      <x:c r="I42" s="35" t="str">
        <x:f>IF(F42="","",IF(G42="",F42,AVERAGE(F42:G42)))</x:f>
      </x:c>
      <x:c r="J42" s="36" t="str"/>
      <x:c r="K42" s="36" t="str"/>
      <x:c r="L42" s="37"/>
      <x:c r="M42" s="36" t="str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28" t="str">
        <x:v>CT_BOTH_JAWS</x:v>
      </x:c>
      <x:c r="B43" s="33" t="str">
        <x:v>Діагностика</x:v>
      </x:c>
      <x:c r="C43" s="33" t="str">
        <x:v>КТ обох щелеп</x:v>
      </x:c>
      <x:c r="D43" s="33" t="str">
        <x:v>за дослідження</x:v>
      </x:c>
      <x:c r="E43" s="33" t="str">
        <x:v>common</x:v>
      </x:c>
      <x:c r="F43" s="34"/>
      <x:c r="G43" s="34"/>
      <x:c r="H43" s="34" t="str">
        <x:v>UAH</x:v>
      </x:c>
      <x:c r="I43" s="35" t="str">
        <x:f>IF(F43="","",IF(G43="",F43,AVERAGE(F43:G43)))</x:f>
      </x:c>
      <x:c r="J43" s="36" t="str"/>
      <x:c r="K43" s="36" t="str"/>
      <x:c r="L43" s="37"/>
      <x:c r="M43" s="36" t="str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28" t="str">
        <x:v>REMOVAL_SIMPLE</x:v>
      </x:c>
      <x:c r="B44" s="33" t="str">
        <x:v>Видалення</x:v>
      </x:c>
      <x:c r="C44" s="33" t="str">
        <x:v>Просте видалення зуба</x:v>
      </x:c>
      <x:c r="D44" s="33" t="str">
        <x:v>за зуб</x:v>
      </x:c>
      <x:c r="E44" s="33" t="str">
        <x:v>common</x:v>
      </x:c>
      <x:c r="F44" s="34"/>
      <x:c r="G44" s="34"/>
      <x:c r="H44" s="34" t="str">
        <x:v>UAH</x:v>
      </x:c>
      <x:c r="I44" s="35" t="str">
        <x:f>IF(F44="","",IF(G44="",F44,AVERAGE(F44:G44)))</x:f>
      </x:c>
      <x:c r="J44" s="36" t="str"/>
      <x:c r="K44" s="36" t="str"/>
      <x:c r="L44" s="37"/>
      <x:c r="M44" s="36" t="str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28" t="str">
        <x:v>REMOVAL_COMPLEX</x:v>
      </x:c>
      <x:c r="B45" s="33" t="str">
        <x:v>Видалення</x:v>
      </x:c>
      <x:c r="C45" s="33" t="str">
        <x:v>Складне видалення зуба</x:v>
      </x:c>
      <x:c r="D45" s="33" t="str">
        <x:v>за зуб</x:v>
      </x:c>
      <x:c r="E45" s="33" t="str">
        <x:v>common</x:v>
      </x:c>
      <x:c r="F45" s="34"/>
      <x:c r="G45" s="34"/>
      <x:c r="H45" s="34" t="str">
        <x:v>UAH</x:v>
      </x:c>
      <x:c r="I45" s="35" t="str">
        <x:f>IF(F45="","",IF(G45="",F45,AVERAGE(F45:G45)))</x:f>
      </x:c>
      <x:c r="J45" s="36" t="str"/>
      <x:c r="K45" s="36" t="str"/>
      <x:c r="L45" s="37"/>
      <x:c r="M45" s="36" t="str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28" t="str">
        <x:v>REMOVAL_WISDOM_SIMPLE</x:v>
      </x:c>
      <x:c r="B46" s="33" t="str">
        <x:v>Видалення</x:v>
      </x:c>
      <x:c r="C46" s="33" t="str">
        <x:v>Просте видалення зуба мудрості</x:v>
      </x:c>
      <x:c r="D46" s="33" t="str">
        <x:v>за зуб</x:v>
      </x:c>
      <x:c r="E46" s="33" t="str">
        <x:v>common</x:v>
      </x:c>
      <x:c r="F46" s="34"/>
      <x:c r="G46" s="34"/>
      <x:c r="H46" s="34" t="str">
        <x:v>UAH</x:v>
      </x:c>
      <x:c r="I46" s="35" t="str">
        <x:f>IF(F46="","",IF(G46="",F46,AVERAGE(F46:G46)))</x:f>
      </x:c>
      <x:c r="J46" s="36" t="str"/>
      <x:c r="K46" s="36" t="str"/>
      <x:c r="L46" s="37"/>
      <x:c r="M46" s="36" t="str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28" t="str">
        <x:v>REMOVAL_WISDOM_COMPLEX</x:v>
      </x:c>
      <x:c r="B47" s="33" t="str">
        <x:v>Видалення</x:v>
      </x:c>
      <x:c r="C47" s="33" t="str">
        <x:v>Складне видалення зуба мудрості</x:v>
      </x:c>
      <x:c r="D47" s="33" t="str">
        <x:v>за зуб</x:v>
      </x:c>
      <x:c r="E47" s="33" t="str">
        <x:v>common</x:v>
      </x:c>
      <x:c r="F47" s="34"/>
      <x:c r="G47" s="34"/>
      <x:c r="H47" s="34" t="str">
        <x:v>UAH</x:v>
      </x:c>
      <x:c r="I47" s="35" t="str">
        <x:f>IF(F47="","",IF(G47="",F47,AVERAGE(F47:G47)))</x:f>
      </x:c>
      <x:c r="J47" s="36" t="str"/>
      <x:c r="K47" s="36" t="str"/>
      <x:c r="L47" s="37"/>
      <x:c r="M47" s="36" t="str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28" t="str">
        <x:v>REMOVAL_RESORCIN</x:v>
      </x:c>
      <x:c r="B48" s="33" t="str">
        <x:v>Видалення</x:v>
      </x:c>
      <x:c r="C48" s="33" t="str">
        <x:v>Видалення резорцин-формалінового зуба</x:v>
      </x:c>
      <x:c r="D48" s="33" t="str">
        <x:v>за зуб</x:v>
      </x:c>
      <x:c r="E48" s="33" t="str">
        <x:v>common</x:v>
      </x:c>
      <x:c r="F48" s="34"/>
      <x:c r="G48" s="34"/>
      <x:c r="H48" s="34" t="str">
        <x:v>UAH</x:v>
      </x:c>
      <x:c r="I48" s="35" t="str">
        <x:f>IF(F48="","",IF(G48="",F48,AVERAGE(F48:G48)))</x:f>
      </x:c>
      <x:c r="J48" s="36" t="str"/>
      <x:c r="K48" s="36" t="str"/>
      <x:c r="L48" s="37"/>
      <x:c r="M48" s="36" t="str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28" t="str">
        <x:v>REMOVAL_IMPACTED</x:v>
      </x:c>
      <x:c r="B49" s="33" t="str">
        <x:v>Видалення</x:v>
      </x:c>
      <x:c r="C49" s="33" t="str">
        <x:v>Видалення ретинованого зуба</x:v>
      </x:c>
      <x:c r="D49" s="33" t="str">
        <x:v>за зуб</x:v>
      </x:c>
      <x:c r="E49" s="33" t="str">
        <x:v>common</x:v>
      </x:c>
      <x:c r="F49" s="34"/>
      <x:c r="G49" s="34"/>
      <x:c r="H49" s="34" t="str">
        <x:v>UAH</x:v>
      </x:c>
      <x:c r="I49" s="35" t="str">
        <x:f>IF(F49="","",IF(G49="",F49,AVERAGE(F49:G49)))</x:f>
      </x:c>
      <x:c r="J49" s="36" t="str"/>
      <x:c r="K49" s="36" t="str"/>
      <x:c r="L49" s="37"/>
      <x:c r="M49" s="36" t="str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28" t="str">
        <x:v>ANESTHESIA_AREA</x:v>
      </x:c>
      <x:c r="B50" s="33" t="str">
        <x:v>Видалення</x:v>
      </x:c>
      <x:c r="C50" s="33" t="str">
        <x:v>Анестезія</x:v>
      </x:c>
      <x:c r="D50" s="33" t="str">
        <x:v>за ділянку</x:v>
      </x:c>
      <x:c r="E50" s="33" t="str">
        <x:v>common</x:v>
      </x:c>
      <x:c r="F50" s="34"/>
      <x:c r="G50" s="34"/>
      <x:c r="H50" s="34" t="str">
        <x:v>UAH</x:v>
      </x:c>
      <x:c r="I50" s="35" t="str">
        <x:f>IF(F50="","",IF(G50="",F50,AVERAGE(F50:G50)))</x:f>
      </x:c>
      <x:c r="J50" s="36" t="str"/>
      <x:c r="K50" s="36" t="str"/>
      <x:c r="L50" s="37"/>
      <x:c r="M50" s="36" t="str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28" t="str">
        <x:v>SUTURE_AREA</x:v>
      </x:c>
      <x:c r="B51" s="33" t="str">
        <x:v>Видалення</x:v>
      </x:c>
      <x:c r="C51" s="33" t="str">
        <x:v>Накладання шва</x:v>
      </x:c>
      <x:c r="D51" s="33" t="str">
        <x:v>за ділянку</x:v>
      </x:c>
      <x:c r="E51" s="33" t="str">
        <x:v>common</x:v>
      </x:c>
      <x:c r="F51" s="34"/>
      <x:c r="G51" s="34"/>
      <x:c r="H51" s="34" t="str">
        <x:v>UAH</x:v>
      </x:c>
      <x:c r="I51" s="35" t="str">
        <x:f>IF(F51="","",IF(G51="",F51,AVERAGE(F51:G51)))</x:f>
      </x:c>
      <x:c r="J51" s="36" t="str"/>
      <x:c r="K51" s="36" t="str"/>
      <x:c r="L51" s="37"/>
      <x:c r="M51" s="36" t="str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28" t="str">
        <x:v>HEMOSTATIC_SPONGE</x:v>
      </x:c>
      <x:c r="B52" s="33" t="str">
        <x:v>Видалення</x:v>
      </x:c>
      <x:c r="C52" s="33" t="str">
        <x:v>Гемостатична губка</x:v>
      </x:c>
      <x:c r="D52" s="33" t="str">
        <x:v>за одиницю</x:v>
      </x:c>
      <x:c r="E52" s="33" t="str">
        <x:v>common</x:v>
      </x:c>
      <x:c r="F52" s="34"/>
      <x:c r="G52" s="34"/>
      <x:c r="H52" s="34" t="str">
        <x:v>UAH</x:v>
      </x:c>
      <x:c r="I52" s="35" t="str">
        <x:f>IF(F52="","",IF(G52="",F52,AVERAGE(F52:G52)))</x:f>
      </x:c>
      <x:c r="J52" s="36" t="str"/>
      <x:c r="K52" s="36" t="str"/>
      <x:c r="L52" s="37"/>
      <x:c r="M52" s="36" t="str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28" t="str">
        <x:v>AUGMENT_SEGMENT</x:v>
      </x:c>
      <x:c r="B53" s="33" t="str">
        <x:v>Кісткові процедури</x:v>
      </x:c>
      <x:c r="C53" s="33" t="str">
        <x:v>Кісткова аугментація</x:v>
      </x:c>
      <x:c r="D53" s="33" t="str">
        <x:v>за сегмент</x:v>
      </x:c>
      <x:c r="E53" s="33" t="str">
        <x:v>common</x:v>
      </x:c>
      <x:c r="F53" s="34"/>
      <x:c r="G53" s="34"/>
      <x:c r="H53" s="34" t="str">
        <x:v>UAH</x:v>
      </x:c>
      <x:c r="I53" s="35" t="str">
        <x:f>IF(F53="","",IF(G53="",F53,AVERAGE(F53:G53)))</x:f>
      </x:c>
      <x:c r="J53" s="36" t="str"/>
      <x:c r="K53" s="36" t="str"/>
      <x:c r="L53" s="37"/>
      <x:c r="M53" s="36" t="str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28" t="str">
        <x:v>SINUS_LIFT</x:v>
      </x:c>
      <x:c r="B54" s="33" t="str">
        <x:v>Кісткові процедури</x:v>
      </x:c>
      <x:c r="C54" s="33" t="str">
        <x:v>Синус-ліфтинг</x:v>
      </x:c>
      <x:c r="D54" s="33" t="str">
        <x:v>за операцію/сегмент</x:v>
      </x:c>
      <x:c r="E54" s="33" t="str">
        <x:v>common</x:v>
      </x:c>
      <x:c r="F54" s="34"/>
      <x:c r="G54" s="34"/>
      <x:c r="H54" s="34" t="str">
        <x:v>UAH</x:v>
      </x:c>
      <x:c r="I54" s="35" t="str">
        <x:f>IF(F54="","",IF(G54="",F54,AVERAGE(F54:G54)))</x:f>
      </x:c>
      <x:c r="J54" s="36" t="str"/>
      <x:c r="K54" s="36" t="str"/>
      <x:c r="L54" s="37"/>
      <x:c r="M54" s="36" t="str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28" t="str">
        <x:v>SOFT_TISSUE</x:v>
      </x:c>
      <x:c r="B55" s="33" t="str">
        <x:v>М’які тканини</x:v>
      </x:c>
      <x:c r="C55" s="33" t="str">
        <x:v>Пластика м’яких тканин</x:v>
      </x:c>
      <x:c r="D55" s="33" t="str">
        <x:v>за ділянку</x:v>
      </x:c>
      <x:c r="E55" s="33" t="str">
        <x:v>common</x:v>
      </x:c>
      <x:c r="F55" s="34"/>
      <x:c r="G55" s="34"/>
      <x:c r="H55" s="34" t="str">
        <x:v>UAH</x:v>
      </x:c>
      <x:c r="I55" s="35" t="str">
        <x:f>IF(F55="","",IF(G55="",F55,AVERAGE(F55:G55)))</x:f>
      </x:c>
      <x:c r="J55" s="36" t="str"/>
      <x:c r="K55" s="36" t="str"/>
      <x:c r="L55" s="37"/>
      <x:c r="M55" s="36" t="str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28" t="str">
        <x:v>SEDATION_30_MIN</x:v>
      </x:c>
      <x:c r="B56" s="33" t="str">
        <x:v>Седація</x:v>
      </x:c>
      <x:c r="C56" s="33" t="str">
        <x:v>Седація або лікування уві сні</x:v>
      </x:c>
      <x:c r="D56" s="33" t="str">
        <x:v>за 30 хвилин</x:v>
      </x:c>
      <x:c r="E56" s="33" t="str">
        <x:v>common</x:v>
      </x:c>
      <x:c r="F56" s="34"/>
      <x:c r="G56" s="34"/>
      <x:c r="H56" s="34" t="str">
        <x:v>UAH</x:v>
      </x:c>
      <x:c r="I56" s="35" t="str">
        <x:f>IF(F56="","",IF(G56="",F56,AVERAGE(F56:G56)))</x:f>
      </x:c>
      <x:c r="J56" s="36" t="str"/>
      <x:c r="K56" s="36" t="str"/>
      <x:c r="L56" s="37"/>
      <x:c r="M56" s="36" t="str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28" t="str">
        <x:v>SURGICAL_GUIDE_STANDARD</x:v>
      </x:c>
      <x:c r="B57" s="33" t="str">
        <x:v>Навігація</x:v>
      </x:c>
      <x:c r="C57" s="33" t="str">
        <x:v>Стандартний хірургічний шаблон</x:v>
      </x:c>
      <x:c r="D57" s="33" t="str">
        <x:v>за шаблон</x:v>
      </x:c>
      <x:c r="E57" s="33" t="str">
        <x:v>common</x:v>
      </x:c>
      <x:c r="F57" s="34"/>
      <x:c r="G57" s="34"/>
      <x:c r="H57" s="34" t="str">
        <x:v>UAH</x:v>
      </x:c>
      <x:c r="I57" s="35" t="str">
        <x:f>IF(F57="","",IF(G57="",F57,AVERAGE(F57:G57)))</x:f>
      </x:c>
      <x:c r="J57" s="36" t="str"/>
      <x:c r="K57" s="36" t="str"/>
      <x:c r="L57" s="37"/>
      <x:c r="M57" s="36" t="str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28" t="str">
        <x:v>CEMENT_RESTORATION_REMOVAL</x:v>
      </x:c>
      <x:c r="B58" s="33" t="str">
        <x:v>Протезування</x:v>
      </x:c>
      <x:c r="C58" s="33" t="str">
        <x:v>Зняття конструкції на цементній фіксації</x:v>
      </x:c>
      <x:c r="D58" s="33" t="str">
        <x:v>за зуб</x:v>
      </x:c>
      <x:c r="E58" s="33" t="str">
        <x:v>common</x:v>
      </x:c>
      <x:c r="F58" s="34"/>
      <x:c r="G58" s="34"/>
      <x:c r="H58" s="34" t="str">
        <x:v>UAH</x:v>
      </x:c>
      <x:c r="I58" s="35" t="str">
        <x:f>IF(F58="","",IF(G58="",F58,AVERAGE(F58:G58)))</x:f>
      </x:c>
      <x:c r="J58" s="36" t="str"/>
      <x:c r="K58" s="36" t="str"/>
      <x:c r="L58" s="37"/>
      <x:c r="M58" s="36" t="str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M1"/>
  </x:mergeCells>
  <x:dataValidations count="3">
    <x:dataValidation type="list" sqref="B10:B12">
      <x:formula1>"Так,Ні"</x:formula1>
    </x:dataValidation>
    <x:dataValidation type="list" sqref="H16:H58">
      <x:formula1>"UAH,EUR,USD"</x:formula1>
    </x:dataValidation>
    <x:dataValidation type="list" sqref="E16:E58">
      <x:formula1>"common,minimum,classic,premium"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8dc701c38643e2"/>
  </x:tableParts>
</x:worksheet>
</file>

<file path=xl/worksheets/sheet3.xml><?xml version="1.0" encoding="utf-8"?>
<x:worksheet xmlns:x="http://schemas.openxmlformats.org/spreadsheetml/2006/main">
  <x:sheetPr>
    <x:tabColor rgb="FF6FA8B0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52" hidden="0" customWidth="1"/>
  </x:cols>
  <x:sheetData>
    <x:row r="1">
      <x:c r="A1" s="11" t="str">
        <x:v>Довідник послуг калькулятора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25" t="str">
        <x:v>service_code</x:v>
      </x:c>
      <x:c r="B3" s="25" t="str">
        <x:v>Категорія</x:v>
      </x:c>
      <x:c r="C3" s="25" t="str">
        <x:v>Назва</x:v>
      </x:c>
      <x:c r="D3" s="25" t="str">
        <x:v>Одиниця</x:v>
      </x:c>
      <x:c r="E3" s="25" t="str">
        <x:v>Тип рівня</x:v>
      </x:c>
      <x:c r="F3" s="25" t="str">
        <x:v>Роль у калькуляторі</x:v>
      </x:c>
      <x:c r="G3" s="25" t="str">
        <x:v>Правило/склад</x:v>
      </x:c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41" t="str">
        <x:v>IMPLANT_INSTALL</x:v>
      </x:c>
      <x:c r="B4" s="41" t="str">
        <x:v>Імплантація</x:v>
      </x:c>
      <x:c r="C4" s="41" t="str">
        <x:v>Встановлення імпланта</x:v>
      </x:c>
      <x:c r="D4" s="41" t="str">
        <x:v>за імплант</x:v>
      </x:c>
      <x:c r="E4" s="41" t="str">
        <x:v>tiered</x:v>
      </x:c>
      <x:c r="F4" s="41" t="str">
        <x:v>Основний розрахунок</x:v>
      </x:c>
      <x:c r="G4" s="41" t="str">
        <x:v>Повна ціна встановлення імпланта без формувача та коронки</x:v>
      </x:c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41" t="str">
        <x:v>HEALING_ABUTMENT</x:v>
      </x:c>
      <x:c r="B5" s="41" t="str">
        <x:v>Компоненти</x:v>
      </x:c>
      <x:c r="C5" s="41" t="str">
        <x:v>Формувач ясен</x:v>
      </x:c>
      <x:c r="D5" s="41" t="str">
        <x:v>за імплант</x:v>
      </x:c>
      <x:c r="E5" s="41" t="str">
        <x:v>tiered</x:v>
      </x:c>
      <x:c r="F5" s="41" t="str">
        <x:v>Основний розрахунок</x:v>
      </x:c>
      <x:c r="G5" s="41" t="str">
        <x:v>Ціна залежить від рівня імпланта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41" t="str">
        <x:v>SCAN_JAW_STAGE</x:v>
      </x:c>
      <x:c r="B6" s="41" t="str">
        <x:v>Цифровий етап</x:v>
      </x:c>
      <x:c r="C6" s="41" t="str">
        <x:v>Сканування однієї щелепи</x:v>
      </x:c>
      <x:c r="D6" s="41" t="str">
        <x:v>за щелепу/етап</x:v>
      </x:c>
      <x:c r="E6" s="41" t="str">
        <x:v>common</x:v>
      </x:c>
      <x:c r="F6" s="41" t="str">
        <x:v>Основний розрахунок</x:v>
      </x:c>
      <x:c r="G6" s="41" t="str">
        <x:v>Рахується окремо для кожної активної щелепи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41" t="str">
        <x:v>REPEAT_SCAN_JAW</x:v>
      </x:c>
      <x:c r="B7" s="41" t="str">
        <x:v>Цифровий етап</x:v>
      </x:c>
      <x:c r="C7" s="41" t="str">
        <x:v>Повторне сканування однієї щелепи</x:v>
      </x:c>
      <x:c r="D7" s="41" t="str">
        <x:v>за щелепу/етап</x:v>
      </x:c>
      <x:c r="E7" s="41" t="str">
        <x:v>common</x:v>
      </x:c>
      <x:c r="F7" s="41" t="str">
        <x:v>Тимчасове протезування</x:v>
      </x:c>
      <x:c r="G7" s="41" t="str">
        <x:v>Лише якщо потрібен повторний етап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41" t="str">
        <x:v>SUPERSTRUCTURE_SET</x:v>
      </x:c>
      <x:c r="B8" s="41" t="str">
        <x:v>Компоненти</x:v>
      </x:c>
      <x:c r="C8" s="41" t="str">
        <x:v>Комплект супраструктур</x:v>
      </x:c>
      <x:c r="D8" s="41" t="str">
        <x:v>за імплант</x:v>
      </x:c>
      <x:c r="E8" s="41" t="str">
        <x:v>tiered</x:v>
      </x:c>
      <x:c r="F8" s="41" t="str">
        <x:v>Основний розрахунок</x:v>
      </x:c>
      <x:c r="G8" s="41" t="str">
        <x:v>Аналог, трансфер/scan abutment та абатмент за стандартом клініки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41" t="str">
        <x:v>CROWN_IMPLANT</x:v>
      </x:c>
      <x:c r="B9" s="41" t="str">
        <x:v>Коронки</x:v>
      </x:c>
      <x:c r="C9" s="41" t="str">
        <x:v>Постійна коронка на імпланті</x:v>
      </x:c>
      <x:c r="D9" s="41" t="str">
        <x:v>за зуб</x:v>
      </x:c>
      <x:c r="E9" s="41" t="str">
        <x:v>tiered</x:v>
      </x:c>
      <x:c r="F9" s="41" t="str">
        <x:v>Основний розрахунок</x:v>
      </x:c>
      <x:c r="G9" s="41" t="str">
        <x:v>Окремі рівні лабораторії: minimum/classic/premium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41" t="str">
        <x:v>TEMP_CROWN_UNIT</x:v>
      </x:c>
      <x:c r="B10" s="41" t="str">
        <x:v>Тимчасові зуби</x:v>
      </x:c>
      <x:c r="C10" s="41" t="str">
        <x:v>Тимчасова коронка</x:v>
      </x:c>
      <x:c r="D10" s="41" t="str">
        <x:v>за зуб</x:v>
      </x:c>
      <x:c r="E10" s="41" t="str">
        <x:v>common</x:v>
      </x:c>
      <x:c r="F10" s="41" t="str">
        <x:v>Опційно</x:v>
      </x:c>
      <x:c r="G10" s="41" t="str">
        <x:v>Не входить автоматично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41" t="str">
        <x:v>ABUTMENT_FINAL</x:v>
      </x:c>
      <x:c r="B11" s="41" t="str">
        <x:v>Компоненти</x:v>
      </x:c>
      <x:c r="C11" s="41" t="str">
        <x:v>Фінальний абатмент після тимчасової коронки</x:v>
      </x:c>
      <x:c r="D11" s="41" t="str">
        <x:v>за імплант</x:v>
      </x:c>
      <x:c r="E11" s="41" t="str">
        <x:v>tiered</x:v>
      </x:c>
      <x:c r="F11" s="41" t="str">
        <x:v>Опційно</x:v>
      </x:c>
      <x:c r="G11" s="41" t="str">
        <x:v>Додається лише разом із тимчасовим протезуванням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41" t="str">
        <x:v>MULTIUNIT</x:v>
      </x:c>
      <x:c r="B12" s="41" t="str">
        <x:v>Повна щелепа</x:v>
      </x:c>
      <x:c r="C12" s="41" t="str">
        <x:v>Мультиюніт</x:v>
      </x:c>
      <x:c r="D12" s="41" t="str">
        <x:v>за імплант</x:v>
      </x:c>
      <x:c r="E12" s="41" t="str">
        <x:v>tiered</x:v>
      </x:c>
      <x:c r="F12" s="41" t="str">
        <x:v>All-on-4/6/8</x:v>
      </x:c>
      <x:c r="G12" s="41" t="str">
        <x:v>Ціна залежить від рівня імпланта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41" t="str">
        <x:v>ARCH_TEMP</x:v>
      </x:c>
      <x:c r="B13" s="41" t="str">
        <x:v>Повна щелепа</x:v>
      </x:c>
      <x:c r="C13" s="41" t="str">
        <x:v>Тимчасова повнощелепна конструкція</x:v>
      </x:c>
      <x:c r="D13" s="41" t="str">
        <x:v>за щелепу</x:v>
      </x:c>
      <x:c r="E13" s="41" t="str">
        <x:v>common</x:v>
      </x:c>
      <x:c r="F13" s="41" t="str">
        <x:v>All-on-4/6/8</x:v>
      </x:c>
      <x:c r="G13" s="41" t="str">
        <x:v>Повна ціна тимчасової конструкції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41" t="str">
        <x:v>ARCH_FINAL</x:v>
      </x:c>
      <x:c r="B14" s="41" t="str">
        <x:v>Повна щелепа</x:v>
      </x:c>
      <x:c r="C14" s="41" t="str">
        <x:v>Постійна повнощелепна конструкція</x:v>
      </x:c>
      <x:c r="D14" s="41" t="str">
        <x:v>за щелепу</x:v>
      </x:c>
      <x:c r="E14" s="41" t="str">
        <x:v>tiered</x:v>
      </x:c>
      <x:c r="F14" s="41" t="str">
        <x:v>All-on-4/6/8</x:v>
      </x:c>
      <x:c r="G14" s="41" t="str">
        <x:v>Окремі рівні minimum/classic/premium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41" t="str">
        <x:v>IMPLANT_CONSULT</x:v>
      </x:c>
      <x:c r="B15" s="41" t="str">
        <x:v>Діагностика</x:v>
      </x:c>
      <x:c r="C15" s="41" t="str">
        <x:v>Консультація імплантолога</x:v>
      </x:c>
      <x:c r="D15" s="41" t="str">
        <x:v>за консультацію</x:v>
      </x:c>
      <x:c r="E15" s="41" t="str">
        <x:v>common</x:v>
      </x:c>
      <x:c r="F15" s="41" t="str">
        <x:v>Додатково</x:v>
      </x:c>
      <x:c r="G15" s="41" t="str">
        <x:v>Не включати в основний total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41" t="str">
        <x:v>CT_ONE_JAW</x:v>
      </x:c>
      <x:c r="B16" s="41" t="str">
        <x:v>Діагностика</x:v>
      </x:c>
      <x:c r="C16" s="41" t="str">
        <x:v>КТ однієї щелепи</x:v>
      </x:c>
      <x:c r="D16" s="41" t="str">
        <x:v>за щелепу</x:v>
      </x:c>
      <x:c r="E16" s="41" t="str">
        <x:v>common</x:v>
      </x:c>
      <x:c r="F16" s="41" t="str">
        <x:v>Додатково</x:v>
      </x:c>
      <x:c r="G16" s="41" t="str">
        <x:v>Не включати в основний total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41" t="str">
        <x:v>CT_BOTH_JAWS</x:v>
      </x:c>
      <x:c r="B17" s="41" t="str">
        <x:v>Діагностика</x:v>
      </x:c>
      <x:c r="C17" s="41" t="str">
        <x:v>КТ обох щелеп</x:v>
      </x:c>
      <x:c r="D17" s="41" t="str">
        <x:v>за дослідження</x:v>
      </x:c>
      <x:c r="E17" s="41" t="str">
        <x:v>common</x:v>
      </x:c>
      <x:c r="F17" s="41" t="str">
        <x:v>Додатково</x:v>
      </x:c>
      <x:c r="G17" s="41" t="str">
        <x:v>Не включати в основний total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41" t="str">
        <x:v>REMOVAL_SIMPLE</x:v>
      </x:c>
      <x:c r="B18" s="41" t="str">
        <x:v>Видалення</x:v>
      </x:c>
      <x:c r="C18" s="41" t="str">
        <x:v>Просте видалення зуба</x:v>
      </x:c>
      <x:c r="D18" s="41" t="str">
        <x:v>за зуб</x:v>
      </x:c>
      <x:c r="E18" s="41" t="str">
        <x:v>common</x:v>
      </x:c>
      <x:c r="F18" s="41" t="str">
        <x:v>Додатково</x:v>
      </x:c>
      <x:c r="G18" s="41" t="str">
        <x:v>Не включати автоматично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41" t="str">
        <x:v>REMOVAL_COMPLEX</x:v>
      </x:c>
      <x:c r="B19" s="41" t="str">
        <x:v>Видалення</x:v>
      </x:c>
      <x:c r="C19" s="41" t="str">
        <x:v>Складне видалення зуба</x:v>
      </x:c>
      <x:c r="D19" s="41" t="str">
        <x:v>за зуб</x:v>
      </x:c>
      <x:c r="E19" s="41" t="str">
        <x:v>common</x:v>
      </x:c>
      <x:c r="F19" s="41" t="str">
        <x:v>Додатково</x:v>
      </x:c>
      <x:c r="G19" s="41" t="str">
        <x:v>Не включати автоматично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41" t="str">
        <x:v>REMOVAL_WISDOM_SIMPLE</x:v>
      </x:c>
      <x:c r="B20" s="41" t="str">
        <x:v>Видалення</x:v>
      </x:c>
      <x:c r="C20" s="41" t="str">
        <x:v>Просте видалення зуба мудрості</x:v>
      </x:c>
      <x:c r="D20" s="41" t="str">
        <x:v>за зуб</x:v>
      </x:c>
      <x:c r="E20" s="41" t="str">
        <x:v>common</x:v>
      </x:c>
      <x:c r="F20" s="41" t="str">
        <x:v>Додатково</x:v>
      </x:c>
      <x:c r="G20" s="41" t="str">
        <x:v>Не включати автоматично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41" t="str">
        <x:v>REMOVAL_WISDOM_COMPLEX</x:v>
      </x:c>
      <x:c r="B21" s="41" t="str">
        <x:v>Видалення</x:v>
      </x:c>
      <x:c r="C21" s="41" t="str">
        <x:v>Складне видалення зуба мудрості</x:v>
      </x:c>
      <x:c r="D21" s="41" t="str">
        <x:v>за зуб</x:v>
      </x:c>
      <x:c r="E21" s="41" t="str">
        <x:v>common</x:v>
      </x:c>
      <x:c r="F21" s="41" t="str">
        <x:v>Додатково</x:v>
      </x:c>
      <x:c r="G21" s="41" t="str">
        <x:v>Не включати автоматично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41" t="str">
        <x:v>REMOVAL_RESORCIN</x:v>
      </x:c>
      <x:c r="B22" s="41" t="str">
        <x:v>Видалення</x:v>
      </x:c>
      <x:c r="C22" s="41" t="str">
        <x:v>Видалення резорцин-формалінового зуба</x:v>
      </x:c>
      <x:c r="D22" s="41" t="str">
        <x:v>за зуб</x:v>
      </x:c>
      <x:c r="E22" s="41" t="str">
        <x:v>common</x:v>
      </x:c>
      <x:c r="F22" s="41" t="str">
        <x:v>Додатково</x:v>
      </x:c>
      <x:c r="G22" s="41" t="str">
        <x:v>Не включати автоматично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41" t="str">
        <x:v>REMOVAL_IMPACTED</x:v>
      </x:c>
      <x:c r="B23" s="41" t="str">
        <x:v>Видалення</x:v>
      </x:c>
      <x:c r="C23" s="41" t="str">
        <x:v>Видалення ретинованого зуба</x:v>
      </x:c>
      <x:c r="D23" s="41" t="str">
        <x:v>за зуб</x:v>
      </x:c>
      <x:c r="E23" s="41" t="str">
        <x:v>common</x:v>
      </x:c>
      <x:c r="F23" s="41" t="str">
        <x:v>Додатково</x:v>
      </x:c>
      <x:c r="G23" s="41" t="str">
        <x:v>Не включати автоматично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41" t="str">
        <x:v>ANESTHESIA_AREA</x:v>
      </x:c>
      <x:c r="B24" s="41" t="str">
        <x:v>Видалення</x:v>
      </x:c>
      <x:c r="C24" s="41" t="str">
        <x:v>Анестезія</x:v>
      </x:c>
      <x:c r="D24" s="41" t="str">
        <x:v>за ділянку</x:v>
      </x:c>
      <x:c r="E24" s="41" t="str">
        <x:v>common</x:v>
      </x:c>
      <x:c r="F24" s="41" t="str">
        <x:v>Додатково</x:v>
      </x:c>
      <x:c r="G24" s="41" t="str">
        <x:v>Ділянка визначається клінікою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41" t="str">
        <x:v>SUTURE_AREA</x:v>
      </x:c>
      <x:c r="B25" s="41" t="str">
        <x:v>Видалення</x:v>
      </x:c>
      <x:c r="C25" s="41" t="str">
        <x:v>Накладання шва</x:v>
      </x:c>
      <x:c r="D25" s="41" t="str">
        <x:v>за ділянку</x:v>
      </x:c>
      <x:c r="E25" s="41" t="str">
        <x:v>common</x:v>
      </x:c>
      <x:c r="F25" s="41" t="str">
        <x:v>Додатково</x:v>
      </x:c>
      <x:c r="G25" s="41" t="str">
        <x:v>За показаннями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41" t="str">
        <x:v>HEMOSTATIC_SPONGE</x:v>
      </x:c>
      <x:c r="B26" s="41" t="str">
        <x:v>Видалення</x:v>
      </x:c>
      <x:c r="C26" s="41" t="str">
        <x:v>Гемостатична губка</x:v>
      </x:c>
      <x:c r="D26" s="41" t="str">
        <x:v>за одиницю</x:v>
      </x:c>
      <x:c r="E26" s="41" t="str">
        <x:v>common</x:v>
      </x:c>
      <x:c r="F26" s="41" t="str">
        <x:v>Додатково</x:v>
      </x:c>
      <x:c r="G26" s="41" t="str">
        <x:v>За показаннями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41" t="str">
        <x:v>AUGMENT_SEGMENT</x:v>
      </x:c>
      <x:c r="B27" s="41" t="str">
        <x:v>Кісткові процедури</x:v>
      </x:c>
      <x:c r="C27" s="41" t="str">
        <x:v>Кісткова аугментація</x:v>
      </x:c>
      <x:c r="D27" s="41" t="str">
        <x:v>за сегмент</x:v>
      </x:c>
      <x:c r="E27" s="41" t="str">
        <x:v>common</x:v>
      </x:c>
      <x:c r="F27" s="41" t="str">
        <x:v>Додатково</x:v>
      </x:c>
      <x:c r="G27" s="41" t="str">
        <x:v>Вказати, що входить у ціну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41" t="str">
        <x:v>SINUS_LIFT</x:v>
      </x:c>
      <x:c r="B28" s="41" t="str">
        <x:v>Кісткові процедури</x:v>
      </x:c>
      <x:c r="C28" s="41" t="str">
        <x:v>Синус-ліфтинг</x:v>
      </x:c>
      <x:c r="D28" s="41" t="str">
        <x:v>за операцію/сегмент</x:v>
      </x:c>
      <x:c r="E28" s="41" t="str">
        <x:v>common</x:v>
      </x:c>
      <x:c r="F28" s="41" t="str">
        <x:v>Додатково</x:v>
      </x:c>
      <x:c r="G28" s="41" t="str">
        <x:v>Вказати, що входить у ціну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41" t="str">
        <x:v>SOFT_TISSUE</x:v>
      </x:c>
      <x:c r="B29" s="41" t="str">
        <x:v>М’які тканини</x:v>
      </x:c>
      <x:c r="C29" s="41" t="str">
        <x:v>Пластика м’яких тканин</x:v>
      </x:c>
      <x:c r="D29" s="41" t="str">
        <x:v>за ділянку</x:v>
      </x:c>
      <x:c r="E29" s="41" t="str">
        <x:v>common</x:v>
      </x:c>
      <x:c r="F29" s="41" t="str">
        <x:v>Додатково</x:v>
      </x:c>
      <x:c r="G29" s="41" t="str">
        <x:v>Не включати автоматично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41" t="str">
        <x:v>SEDATION_30_MIN</x:v>
      </x:c>
      <x:c r="B30" s="41" t="str">
        <x:v>Седація</x:v>
      </x:c>
      <x:c r="C30" s="41" t="str">
        <x:v>Седація або лікування уві сні</x:v>
      </x:c>
      <x:c r="D30" s="41" t="str">
        <x:v>за 30 хвилин</x:v>
      </x:c>
      <x:c r="E30" s="41" t="str">
        <x:v>common</x:v>
      </x:c>
      <x:c r="F30" s="41" t="str">
        <x:v>Додатково</x:v>
      </x:c>
      <x:c r="G30" s="41" t="str">
        <x:v>Якщо клініка рахує погодинно, вказати половину години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41" t="str">
        <x:v>SURGICAL_GUIDE_STANDARD</x:v>
      </x:c>
      <x:c r="B31" s="41" t="str">
        <x:v>Навігація</x:v>
      </x:c>
      <x:c r="C31" s="41" t="str">
        <x:v>Стандартний хірургічний шаблон</x:v>
      </x:c>
      <x:c r="D31" s="41" t="str">
        <x:v>за шаблон</x:v>
      </x:c>
      <x:c r="E31" s="41" t="str">
        <x:v>common</x:v>
      </x:c>
      <x:c r="F31" s="41" t="str">
        <x:v>Додатково</x:v>
      </x:c>
      <x:c r="G31" s="41" t="str">
        <x:v>Розбірний шаблон із тимчасовими зубами описати у примітці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41" t="str">
        <x:v>CEMENT_RESTORATION_REMOVAL</x:v>
      </x:c>
      <x:c r="B32" s="41" t="str">
        <x:v>Протезування</x:v>
      </x:c>
      <x:c r="C32" s="41" t="str">
        <x:v>Зняття конструкції на цементній фіксації</x:v>
      </x:c>
      <x:c r="D32" s="41" t="str">
        <x:v>за зуб</x:v>
      </x:c>
      <x:c r="E32" s="41" t="str">
        <x:v>common</x:v>
      </x:c>
      <x:c r="F32" s="41" t="str">
        <x:v>Додатково</x:v>
      </x:c>
      <x:c r="G32" s="41" t="str">
        <x:v>Гвинтове зняття окремо не враховується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a13d6aee2f54ee7"/>
  </x:tableParts>
</x:worksheet>
</file>

<file path=xl/worksheets/sheet4.xml><?xml version="1.0" encoding="utf-8"?>
<x:worksheet xmlns:x="http://schemas.openxmlformats.org/spreadsheetml/2006/main">
  <x:sheetPr>
    <x:tabColor rgb="FFAAB7BA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42" t="str">
        <x:v>Рівні</x:v>
      </x:c>
      <x:c r="B1" s="42" t="str">
        <x:v>Валюти</x:v>
      </x:c>
      <x:c r="C1" s="42" t="str">
        <x:v>Так/Ні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0" t="str">
        <x:v>common</x:v>
      </x:c>
      <x:c r="B2" s="10" t="str">
        <x:v>UAH</x:v>
      </x:c>
      <x:c r="C2" s="10" t="str">
        <x:v>Так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</x:row>
    <x:row r="3">
      <x:c r="A3" s="10" t="str">
        <x:v>minimum</x:v>
      </x:c>
      <x:c r="B3" s="10" t="str">
        <x:v>EUR</x:v>
      </x:c>
      <x:c r="C3" s="10" t="str">
        <x:v>Ні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</x:row>
    <x:row r="4">
      <x:c r="A4" s="10" t="str">
        <x:v>classic</x:v>
      </x:c>
      <x:c r="B4" s="10" t="str">
        <x:v>USD</x:v>
      </x:c>
      <x:c r="C4" s="10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</x:row>
    <x:row r="5">
      <x:c r="A5" s="10" t="str">
        <x:v>premium</x:v>
      </x:c>
      <x:c r="B5" s="10"/>
      <x:c r="C5" s="10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</x:row>
  </x:sheetData>
  <x:pageMargins left="0.7" right="0.7" top="0.75" bottom="0.75" header="0.3" footer="0.3"/>
</x:worksheet>
</file>